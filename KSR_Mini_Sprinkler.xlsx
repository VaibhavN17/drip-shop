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i Sprinkler" sheetId="1" state="visible" r:id="rId1"/>
  </sheets>
  <definedNames>
    <definedName name="_xlnm._FilterDatabase" localSheetId="0" hidden="1">'Mini Sprinkler'!$A$3:$F$26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2" fontId="0" fillId="0" borderId="1" applyAlignment="1" pivotButton="0" quotePrefix="0" xfId="0">
      <alignment vertical="center" wrapText="1"/>
    </xf>
    <xf numFmtId="2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75" customWidth="1" min="2" max="2"/>
    <col width="10" customWidth="1" min="3" max="3"/>
    <col width="14" customWidth="1" min="4" max="4"/>
    <col width="10" customWidth="1" min="5" max="5"/>
    <col width="16" customWidth="1" min="6" max="6"/>
  </cols>
  <sheetData>
    <row r="1" ht="24" customHeight="1">
      <c r="A1" s="1" t="inlineStr">
        <is>
          <t>KSR MINI SPRINKLER (SEMI PERMANENT) &amp; Accessories</t>
        </is>
      </c>
    </row>
    <row r="3">
      <c r="A3" s="2" t="inlineStr">
        <is>
          <t>Sr. No.</t>
        </is>
      </c>
      <c r="B3" s="2" t="inlineStr">
        <is>
          <t>Item Description</t>
        </is>
      </c>
      <c r="C3" s="2" t="inlineStr">
        <is>
          <t>Unit</t>
        </is>
      </c>
      <c r="D3" s="2" t="inlineStr">
        <is>
          <t>Price</t>
        </is>
      </c>
      <c r="E3" s="2" t="inlineStr">
        <is>
          <t>Qty</t>
        </is>
      </c>
      <c r="F3" s="2" t="inlineStr">
        <is>
          <t>Amount</t>
        </is>
      </c>
    </row>
    <row r="4">
      <c r="A4" s="3" t="n">
        <v>1</v>
      </c>
      <c r="B4" s="3" t="inlineStr">
        <is>
          <t>Male threaded Sprinkler ½" (full circle) 10 to 12 m radius throw, (350 to 1200 LPH)</t>
        </is>
      </c>
      <c r="C4" s="3" t="inlineStr">
        <is>
          <t>No.</t>
        </is>
      </c>
      <c r="D4" s="4" t="n">
        <v>88</v>
      </c>
      <c r="E4" s="3" t="n">
        <v>10</v>
      </c>
      <c r="F4" s="4">
        <f>D4*E4</f>
        <v/>
      </c>
    </row>
    <row r="5">
      <c r="A5" s="3" t="n">
        <v>2</v>
      </c>
      <c r="B5" s="3" t="inlineStr">
        <is>
          <t>Male threaded Sprinkler 1/2" (part circle) 10 to 12 m radius throw, (350 to 1200 LPH)</t>
        </is>
      </c>
      <c r="C5" s="3" t="inlineStr">
        <is>
          <t>No.</t>
        </is>
      </c>
      <c r="D5" s="4" t="n">
        <v>192</v>
      </c>
      <c r="E5" s="3" t="n">
        <v>10</v>
      </c>
      <c r="F5" s="4">
        <f>D5*E5</f>
        <v/>
      </c>
    </row>
    <row r="6">
      <c r="A6" s="3" t="n">
        <v>3</v>
      </c>
      <c r="B6" s="3" t="inlineStr">
        <is>
          <t>Tube Assembly 1.2 mtr (Tube + Adopter + Male &amp; Female connector)</t>
        </is>
      </c>
      <c r="C6" s="3" t="inlineStr">
        <is>
          <t>No.</t>
        </is>
      </c>
      <c r="D6" s="4" t="n">
        <v>39.3</v>
      </c>
      <c r="E6" s="3" t="n">
        <v>10</v>
      </c>
      <c r="F6" s="4">
        <f>D6*E6</f>
        <v/>
      </c>
    </row>
    <row r="7">
      <c r="A7" s="3" t="n">
        <v>4</v>
      </c>
      <c r="B7" s="3" t="inlineStr">
        <is>
          <t>Tube Assembly 1.5 mtr (Tube + Adopter + Male &amp; Female connector)</t>
        </is>
      </c>
      <c r="C7" s="3" t="inlineStr">
        <is>
          <t>No.</t>
        </is>
      </c>
      <c r="D7" s="4" t="n">
        <v>44.4</v>
      </c>
      <c r="E7" s="3" t="n">
        <v>10</v>
      </c>
      <c r="F7" s="4">
        <f>D7*E7</f>
        <v/>
      </c>
    </row>
    <row r="8">
      <c r="A8" s="3" t="n">
        <v>5</v>
      </c>
      <c r="B8" s="3" t="inlineStr">
        <is>
          <t>Adopter for mini Sprinkler</t>
        </is>
      </c>
      <c r="C8" s="3" t="inlineStr">
        <is>
          <t>No.</t>
        </is>
      </c>
      <c r="D8" s="4" t="n">
        <v>10.5</v>
      </c>
      <c r="E8" s="3" t="n">
        <v>10</v>
      </c>
      <c r="F8" s="4">
        <f>D8*E8</f>
        <v/>
      </c>
    </row>
    <row r="9">
      <c r="A9" s="3" t="n">
        <v>6</v>
      </c>
      <c r="B9" s="3" t="inlineStr">
        <is>
          <t>Male Female Connector</t>
        </is>
      </c>
      <c r="C9" s="3" t="inlineStr">
        <is>
          <t>No.</t>
        </is>
      </c>
      <c r="D9" s="4" t="n">
        <v>7.9</v>
      </c>
      <c r="E9" s="3" t="n">
        <v>10</v>
      </c>
      <c r="F9" s="4">
        <f>D9*E9</f>
        <v/>
      </c>
    </row>
    <row r="10">
      <c r="A10" s="3" t="n">
        <v>7</v>
      </c>
      <c r="B10" s="3" t="inlineStr">
        <is>
          <t>Plug 9/12 mm</t>
        </is>
      </c>
      <c r="C10" s="3" t="inlineStr">
        <is>
          <t>No.</t>
        </is>
      </c>
      <c r="D10" s="4" t="n">
        <v>5.3</v>
      </c>
      <c r="E10" s="3" t="n">
        <v>10</v>
      </c>
      <c r="F10" s="4">
        <f>D10*E10</f>
        <v/>
      </c>
    </row>
    <row r="11">
      <c r="A11" s="3" t="n">
        <v>8</v>
      </c>
      <c r="B11" s="3" t="inlineStr">
        <is>
          <t>Extention Tube 12 mm (1.2 mtr long)</t>
        </is>
      </c>
      <c r="C11" s="3" t="inlineStr">
        <is>
          <t>No.</t>
        </is>
      </c>
      <c r="D11" s="4" t="n">
        <v>20.9</v>
      </c>
      <c r="E11" s="3" t="n">
        <v>10</v>
      </c>
      <c r="F11" s="4">
        <f>D11*E11</f>
        <v/>
      </c>
    </row>
    <row r="12">
      <c r="A12" s="3" t="n">
        <v>9</v>
      </c>
      <c r="B12" s="3" t="inlineStr">
        <is>
          <t>Extention Tube 12 mm (1.5 mtr long)</t>
        </is>
      </c>
      <c r="C12" s="3" t="inlineStr">
        <is>
          <t>No.</t>
        </is>
      </c>
      <c r="D12" s="4" t="n">
        <v>26</v>
      </c>
      <c r="E12" s="3" t="n">
        <v>10</v>
      </c>
      <c r="F12" s="4">
        <f>D12*E12</f>
        <v/>
      </c>
    </row>
    <row r="13">
      <c r="A13" s="3" t="n">
        <v>10</v>
      </c>
      <c r="B13" s="3" t="inlineStr">
        <is>
          <t>Installation Stake (1.2 mtr long 8 mm dia.) Trishul Type</t>
        </is>
      </c>
      <c r="C13" s="3" t="inlineStr">
        <is>
          <t>No.</t>
        </is>
      </c>
      <c r="D13" s="4" t="n">
        <v>91</v>
      </c>
      <c r="E13" s="3" t="n">
        <v>10</v>
      </c>
      <c r="F13" s="4">
        <f>D13*E13</f>
        <v/>
      </c>
    </row>
    <row r="14">
      <c r="A14" s="3" t="n">
        <v>11</v>
      </c>
      <c r="B14" s="3" t="inlineStr">
        <is>
          <t>Installation Stake (1.2 mtr long 8 mm dia.) Plain Type</t>
        </is>
      </c>
      <c r="C14" s="3" t="inlineStr">
        <is>
          <t>No.</t>
        </is>
      </c>
      <c r="D14" s="4" t="n">
        <v>78</v>
      </c>
      <c r="E14" s="3" t="n">
        <v>10</v>
      </c>
      <c r="F14" s="4">
        <f>D14*E14</f>
        <v/>
      </c>
    </row>
    <row r="15">
      <c r="A15" s="3" t="n">
        <v>12</v>
      </c>
      <c r="B15" s="3" t="inlineStr">
        <is>
          <t>Service Saddle 63 mm x 1"</t>
        </is>
      </c>
      <c r="C15" s="3" t="inlineStr">
        <is>
          <t>No.</t>
        </is>
      </c>
      <c r="D15" s="4" t="n">
        <v>78</v>
      </c>
      <c r="E15" s="3" t="n">
        <v>10</v>
      </c>
      <c r="F15" s="4">
        <f>D15*E15</f>
        <v/>
      </c>
    </row>
    <row r="16">
      <c r="A16" s="3" t="n">
        <v>13</v>
      </c>
      <c r="B16" s="3" t="inlineStr">
        <is>
          <t>Service Saddle 75 mm x 1"</t>
        </is>
      </c>
      <c r="C16" s="3" t="inlineStr">
        <is>
          <t>No.</t>
        </is>
      </c>
      <c r="D16" s="4" t="n">
        <v>87</v>
      </c>
      <c r="E16" s="3" t="n">
        <v>10</v>
      </c>
      <c r="F16" s="4">
        <f>D16*E16</f>
        <v/>
      </c>
    </row>
    <row r="17">
      <c r="A17" s="3" t="n">
        <v>14</v>
      </c>
      <c r="B17" s="3" t="inlineStr">
        <is>
          <t>Service Saddle 90 mm x 1"</t>
        </is>
      </c>
      <c r="C17" s="3" t="inlineStr">
        <is>
          <t>No.</t>
        </is>
      </c>
      <c r="D17" s="4" t="n">
        <v>96</v>
      </c>
      <c r="E17" s="3" t="n">
        <v>10</v>
      </c>
      <c r="F17" s="4">
        <f>D17*E17</f>
        <v/>
      </c>
    </row>
    <row r="18">
      <c r="A18" s="3" t="n">
        <v>15</v>
      </c>
      <c r="B18" s="3" t="inlineStr">
        <is>
          <t>Service Saddle 110 mm x 1"</t>
        </is>
      </c>
      <c r="C18" s="3" t="inlineStr">
        <is>
          <t>No.</t>
        </is>
      </c>
      <c r="D18" s="4" t="n">
        <v>104</v>
      </c>
      <c r="E18" s="3" t="n">
        <v>10</v>
      </c>
      <c r="F18" s="4">
        <f>D18*E18</f>
        <v/>
      </c>
    </row>
    <row r="19">
      <c r="A19" s="3" t="n">
        <v>16</v>
      </c>
      <c r="B19" s="3" t="inlineStr">
        <is>
          <t>Ball Valve 32 mm PP</t>
        </is>
      </c>
      <c r="C19" s="3" t="inlineStr">
        <is>
          <t>No.</t>
        </is>
      </c>
      <c r="D19" s="4" t="n">
        <v>96</v>
      </c>
      <c r="E19" s="3" t="n">
        <v>10</v>
      </c>
      <c r="F19" s="4">
        <f>D19*E19</f>
        <v/>
      </c>
    </row>
    <row r="20">
      <c r="A20" s="3" t="n">
        <v>17</v>
      </c>
      <c r="B20" s="3" t="inlineStr">
        <is>
          <t>Male Threaded Elbow Compression 32 mm</t>
        </is>
      </c>
      <c r="C20" s="3" t="inlineStr">
        <is>
          <t>No.</t>
        </is>
      </c>
      <c r="D20" s="4" t="n">
        <v>31</v>
      </c>
      <c r="E20" s="3" t="n">
        <v>10</v>
      </c>
      <c r="F20" s="4">
        <f>D20*E20</f>
        <v/>
      </c>
    </row>
    <row r="21">
      <c r="A21" s="3" t="n">
        <v>18</v>
      </c>
      <c r="B21" s="3" t="inlineStr">
        <is>
          <t>Male Threaded Tee Compression 32 mm</t>
        </is>
      </c>
      <c r="C21" s="3" t="inlineStr">
        <is>
          <t>No.</t>
        </is>
      </c>
      <c r="D21" s="4" t="n">
        <v>51</v>
      </c>
      <c r="E21" s="3" t="n">
        <v>10</v>
      </c>
      <c r="F21" s="4">
        <f>D21*E21</f>
        <v/>
      </c>
    </row>
    <row r="22">
      <c r="A22" s="3" t="n">
        <v>19</v>
      </c>
      <c r="B22" s="3" t="inlineStr">
        <is>
          <t>Male Threaded Adopter Compression 32 mm</t>
        </is>
      </c>
      <c r="C22" s="3" t="inlineStr">
        <is>
          <t>No.</t>
        </is>
      </c>
      <c r="D22" s="4" t="n">
        <v>35</v>
      </c>
      <c r="E22" s="3" t="n">
        <v>10</v>
      </c>
      <c r="F22" s="4">
        <f>D22*E22</f>
        <v/>
      </c>
    </row>
    <row r="23">
      <c r="A23" s="3" t="n">
        <v>20</v>
      </c>
      <c r="B23" s="3" t="inlineStr">
        <is>
          <t>Coupling Compression 32 mm</t>
        </is>
      </c>
      <c r="C23" s="3" t="inlineStr">
        <is>
          <t>No.</t>
        </is>
      </c>
      <c r="D23" s="4" t="n">
        <v>44</v>
      </c>
      <c r="E23" s="3" t="n">
        <v>10</v>
      </c>
      <c r="F23" s="4">
        <f>D23*E23</f>
        <v/>
      </c>
    </row>
    <row r="24">
      <c r="A24" s="3" t="n">
        <v>21</v>
      </c>
      <c r="B24" s="3" t="inlineStr">
        <is>
          <t>End Cap Compression 32 mm</t>
        </is>
      </c>
      <c r="C24" s="3" t="inlineStr">
        <is>
          <t>No.</t>
        </is>
      </c>
      <c r="D24" s="4" t="n">
        <v>30</v>
      </c>
      <c r="E24" s="3" t="n">
        <v>10</v>
      </c>
      <c r="F24" s="4">
        <f>D24*E24</f>
        <v/>
      </c>
    </row>
    <row r="25">
      <c r="A25" s="3" t="n">
        <v>22</v>
      </c>
      <c r="B25" s="3" t="inlineStr">
        <is>
          <t>Coupling Elbow compression 32 mm</t>
        </is>
      </c>
      <c r="C25" s="3" t="inlineStr">
        <is>
          <t>No.</t>
        </is>
      </c>
      <c r="D25" s="4" t="n">
        <v>46</v>
      </c>
      <c r="E25" s="3" t="n">
        <v>10</v>
      </c>
      <c r="F25" s="4">
        <f>D25*E25</f>
        <v/>
      </c>
    </row>
    <row r="26">
      <c r="A26" s="3" t="n">
        <v>23</v>
      </c>
      <c r="B26" s="3" t="inlineStr">
        <is>
          <t>Coupling Tee compression 32 mm</t>
        </is>
      </c>
      <c r="C26" s="3" t="inlineStr">
        <is>
          <t>No.</t>
        </is>
      </c>
      <c r="D26" s="4" t="n">
        <v>55</v>
      </c>
      <c r="E26" s="3" t="n">
        <v>10</v>
      </c>
      <c r="F26" s="4">
        <f>D26*E26</f>
        <v/>
      </c>
    </row>
    <row r="27">
      <c r="A27" s="3" t="n"/>
      <c r="B27" s="3" t="n"/>
      <c r="C27" s="3" t="n"/>
      <c r="D27" s="3" t="n"/>
      <c r="E27" s="2" t="inlineStr">
        <is>
          <t>Total</t>
        </is>
      </c>
      <c r="F27" s="5">
        <f>SUM(F4:F26)</f>
        <v/>
      </c>
    </row>
  </sheetData>
  <autoFilter ref="A3:F26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2026-09-26T10:02:58Z</dcterms:created>
  <dcterms:modified xmlns:dcterms="http://purl.org/dc/terms/" xmlns:xsi="http://www.w3.org/2001/XMLSchema-instance" xsi:type="dcterms:W3CDTF">2026-09-26T10:02:58Z</dcterms:modified>
</cp:coreProperties>
</file>